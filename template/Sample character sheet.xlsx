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Sheet" sheetId="1" r:id="rId4"/>
    <sheet state="visible" name="Sample" sheetId="2" r:id="rId5"/>
    <sheet state="visible" name="Lists" sheetId="3" r:id="rId6"/>
  </sheets>
  <definedNames/>
  <calcPr/>
  <extLst>
    <ext uri="GoogleSheetsCustomDataVersion2">
      <go:sheetsCustomData xmlns:go="http://customooxmlschemas.google.com/" r:id="rId7" roundtripDataChecksum="xP+oPEbHSYGsK4zo20CQa4afbAOKsfPQuFElHGMoJBs="/>
    </ext>
  </extLst>
</workbook>
</file>

<file path=xl/sharedStrings.xml><?xml version="1.0" encoding="utf-8"?>
<sst xmlns="http://schemas.openxmlformats.org/spreadsheetml/2006/main" count="224" uniqueCount="141">
  <si>
    <t>PAYAW CHARACTER SHEET</t>
  </si>
  <si>
    <t>Player</t>
  </si>
  <si>
    <t>Character Name</t>
  </si>
  <si>
    <t>Connection to Group</t>
  </si>
  <si>
    <t>School / Work</t>
  </si>
  <si>
    <t>Background</t>
  </si>
  <si>
    <t>Starting Item</t>
  </si>
  <si>
    <t>Current Situation</t>
  </si>
  <si>
    <t>Home Area</t>
  </si>
  <si>
    <t>Age / Year</t>
  </si>
  <si>
    <t>STAT POOL</t>
  </si>
  <si>
    <t>Max</t>
  </si>
  <si>
    <t>Used</t>
  </si>
  <si>
    <t>Remaining</t>
  </si>
  <si>
    <t>Stat</t>
  </si>
  <si>
    <t>Score</t>
  </si>
  <si>
    <t>Notes</t>
  </si>
  <si>
    <t>Derived / Use</t>
  </si>
  <si>
    <t>STR</t>
  </si>
  <si>
    <t>Strength, force, melee power, carrying, breaking.</t>
  </si>
  <si>
    <t>CON</t>
  </si>
  <si>
    <t>Endurance, wounds, sickness, poison, staying awake.</t>
  </si>
  <si>
    <t>AGL</t>
  </si>
  <si>
    <t>Speed, reflexes, stealth, balance, dodging.</t>
  </si>
  <si>
    <t>INT</t>
  </si>
  <si>
    <t>Research, logic, memory, school knowledge, technology.</t>
  </si>
  <si>
    <t>WIL</t>
  </si>
  <si>
    <t>Courage, focus, resisting fear, supernatural pressure.</t>
  </si>
  <si>
    <t>CHA</t>
  </si>
  <si>
    <t>Persuasion, lying, performance, social pressure.</t>
  </si>
  <si>
    <t>Total</t>
  </si>
  <si>
    <t>MALAS</t>
  </si>
  <si>
    <t>Current</t>
  </si>
  <si>
    <t>State</t>
  </si>
  <si>
    <t>Personal Warning / Taboo</t>
  </si>
  <si>
    <t>What happens if you break it?</t>
  </si>
  <si>
    <t>Private Wish</t>
  </si>
  <si>
    <t>What would you risk trouble for?</t>
  </si>
  <si>
    <t>NPC TIES AND PLACES</t>
  </si>
  <si>
    <t>Useful Contact</t>
  </si>
  <si>
    <t>Person Who Worries About You</t>
  </si>
  <si>
    <t>Place You Avoid</t>
  </si>
  <si>
    <t>Notes / Debts / Responsibilities</t>
  </si>
  <si>
    <t>CUSTOM SKILLS</t>
  </si>
  <si>
    <t>Slot</t>
  </si>
  <si>
    <t>Skill Name</t>
  </si>
  <si>
    <t>Type</t>
  </si>
  <si>
    <t>Role</t>
  </si>
  <si>
    <t>Use Case</t>
  </si>
  <si>
    <t>Roll</t>
  </si>
  <si>
    <t>Combat Effect</t>
  </si>
  <si>
    <t>Out-of-Combat / Utility</t>
  </si>
  <si>
    <t>Cost / Risk / Upgrade Idea</t>
  </si>
  <si>
    <t>Major</t>
  </si>
  <si>
    <t>Minor 1</t>
  </si>
  <si>
    <t>Minor 2</t>
  </si>
  <si>
    <t>SKILL CREATION NOTES FROM PLAYER GUIDE</t>
  </si>
  <si>
    <t>Roll Rule</t>
  </si>
  <si>
    <t>Describe what you do; the GM chooses the relevant Dragonbane stat/skill. The custom skill only adds its die/effect if the roll succeeds.</t>
  </si>
  <si>
    <t>1d8 damage or healing, plus one secondary effect: buff, debuff, control, protection, or utility.</t>
  </si>
  <si>
    <t>Minor</t>
  </si>
  <si>
    <t>Choose one: 1d4 damage, 1d4 healing, or +1d4 stat boost + utility.</t>
  </si>
  <si>
    <t>Physical</t>
  </si>
  <si>
    <t>Grounded in job, body, tools, training, combat, craft, access, or street knowledge.</t>
  </si>
  <si>
    <t>Supernatural</t>
  </si>
  <si>
    <t>Tied to spirits, charms, family practices, dreams, omens, Malas, or old rules.</t>
  </si>
  <si>
    <t>Limits</t>
  </si>
  <si>
    <t>No instant kills, full resurrection, one-roll mystery solving, or free perfect information. Supernatural misuse can risk Malas, attention, debt, or a condition.</t>
  </si>
  <si>
    <t>GEAR / LOOT</t>
  </si>
  <si>
    <t>Item</t>
  </si>
  <si>
    <t>Use</t>
  </si>
  <si>
    <t>Sample / GM Example</t>
  </si>
  <si>
    <t>Isko Moreno</t>
  </si>
  <si>
    <t>Screen Name / Handle</t>
  </si>
  <si>
    <t>iskong-gutom</t>
  </si>
  <si>
    <t>17 / Grade 12</t>
  </si>
  <si>
    <t>Scholar kid, night errand runner, and the cousin everyone asks to fetch things after dark.</t>
  </si>
  <si>
    <t>Childhood friend of one PC; everyone knows him as reliable, but lately he disappears during late-night chats.</t>
  </si>
  <si>
    <t>Payaw National High / part-time helper at his aunt's carinderia</t>
  </si>
  <si>
    <t>Market District, behind the wet market</t>
  </si>
  <si>
    <t>Red thread bracelet from Lola Ines</t>
  </si>
  <si>
    <t>Trying to act normal while the family curse starts waking up.</t>
  </si>
  <si>
    <t>Can fight or force things open, but he is not built like a bruiser.</t>
  </si>
  <si>
    <t>Good at enduring hunger, fever, and ugly dreams.</t>
  </si>
  <si>
    <t>Fast hands, quiet feet, strong chase stat.</t>
  </si>
  <si>
    <t>Average student; better with practical clues than textbooks.</t>
  </si>
  <si>
    <t>Main defense against fear, temptation, and supernatural pressure.</t>
  </si>
  <si>
    <t>Friendly enough, but bad at hiding when something is wrong.</t>
  </si>
  <si>
    <t>Never taste blood or raw meat after sunset, even as a joke.</t>
  </si>
  <si>
    <t>The hunger gets louder. Failed supernatural use can add +1 Malas or make his tells visible.</t>
  </si>
  <si>
    <t>To prove he is still a good person even if the blood in him is not.</t>
  </si>
  <si>
    <t>He would lie for his friends, break curfew, or follow a monster alone if it means saving someone.</t>
  </si>
  <si>
    <t>Lola Ines, who knows old prayers but refuses to explain too much.</t>
  </si>
  <si>
    <t>Mara, his younger sister, who notices every time he comes home smelling like rain and rust.</t>
  </si>
  <si>
    <t>The meat stalls after closing, especially when the lights flicker.</t>
  </si>
  <si>
    <t>Owes favors to vendors because they keep covering for him. He keeps a private list of people who went missing near the market. He insists he is not hungry.</t>
  </si>
  <si>
    <t>Dugo ng Aswang</t>
  </si>
  <si>
    <t>Damage / Support</t>
  </si>
  <si>
    <t>Let the curse surface for one scene: sharpened senses, ugly strength, and a hunter's focus.</t>
  </si>
  <si>
    <t>CON / Endurance or WIL / Ritual</t>
  </si>
  <si>
    <t>On a successful attack or close struggle, deal +1d8 damage or force the target to stagger, drop something, or reveal its trail.</t>
  </si>
  <si>
    <t>Smell fresh blood, sickness, or fear in the same area; useful for tracking, not for perfect answers.</t>
  </si>
  <si>
    <t>If used while hungry, after midnight, or in public, failure/push may add +1 Malas, create a visible tell, or attract unwanted attention.</t>
  </si>
  <si>
    <t>Night Nose</t>
  </si>
  <si>
    <t>Utility</t>
  </si>
  <si>
    <t>Follow a faint scent of blood, rot, fear, medicine, or old rain through a scene.</t>
  </si>
  <si>
    <t>INT / Research or WIL / Ritual</t>
  </si>
  <si>
    <t>Gain +1d4 to locate a hidden, bleeding, sick, or recently wounded target in the scene.</t>
  </si>
  <si>
    <t>Gain +1d4 to track a trail, find where someone hid, or notice if a place has been recently disturbed.</t>
  </si>
  <si>
    <t>Crowded areas, markets, clinics, and funerals can overwhelm him or point him toward the wrong scent.</t>
  </si>
  <si>
    <t>Borrowed Claws</t>
  </si>
  <si>
    <t>Physical / Supernatural</t>
  </si>
  <si>
    <t>Damage / Utility</t>
  </si>
  <si>
    <t>His nails harden and his grip turns wrong for a few seconds.</t>
  </si>
  <si>
    <t>AGL / Fighting or STR / Fighting</t>
  </si>
  <si>
    <t>Deal +1d4 damage with a close attack, or +1d4 to escape a grab by tearing free.</t>
  </si>
  <si>
    <t>Climb, scratch a mark into wood, cut rope, or pry open a weak latch if he can hide the evidence.</t>
  </si>
  <si>
    <t>Leaves marks. Witnesses may notice his hands. Public use can start rumors or raise Malas on a bad roll.</t>
  </si>
  <si>
    <t>Red thread bracelet</t>
  </si>
  <si>
    <t>Grounding charm</t>
  </si>
  <si>
    <t>Lets him remember Lola Ines's warning. Good prop for WIL rolls against hunger or fear.</t>
  </si>
  <si>
    <t>Cheap flashlight</t>
  </si>
  <si>
    <t>Exploration</t>
  </si>
  <si>
    <t>Works, but flickers when something old is nearby.</t>
  </si>
  <si>
    <t>Plastic bag of pandesal</t>
  </si>
  <si>
    <t>Cover story</t>
  </si>
  <si>
    <t>His excuse for being outside early or late. Also useful for bribing hungry classmates.</t>
  </si>
  <si>
    <t>Small notebook</t>
  </si>
  <si>
    <t>Clues</t>
  </si>
  <si>
    <t>Contains missing-person notes, scent descriptions, and things he is afraid to tell the group.</t>
  </si>
  <si>
    <t>Suggested Rolls</t>
  </si>
  <si>
    <t>Scale</t>
  </si>
  <si>
    <t>Damage</t>
  </si>
  <si>
    <t>STR / Fighting</t>
  </si>
  <si>
    <t>Support</t>
  </si>
  <si>
    <t>AGL / Evade</t>
  </si>
  <si>
    <t>INT / Research</t>
  </si>
  <si>
    <t>WIL / Ritual</t>
  </si>
  <si>
    <t>CHA / Persuasion</t>
  </si>
  <si>
    <t>CON / Endurance</t>
  </si>
  <si>
    <t>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</si>
</sst>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8.0"/>
      <color rgb="FFFFFFFF"/>
      <name val="Play"/>
    </font>
    <font/>
    <font>
      <b/>
      <sz val="10.0"/>
      <color rgb="FF1F2933"/>
      <name val="Aptos"/>
    </font>
    <font>
      <sz val="10.0"/>
      <color rgb="FF1F2933"/>
      <name val="Arial"/>
    </font>
    <font>
      <sz val="10.0"/>
      <color rgb="FF1F2933"/>
      <name val="Aptos"/>
    </font>
    <font>
      <b/>
      <sz val="10.0"/>
      <color rgb="FFFFFFFF"/>
      <name val="Aptos"/>
    </font>
    <font>
      <b/>
      <sz val="11.0"/>
      <color rgb="FFFFFFFF"/>
      <name val="Aptos"/>
    </font>
    <font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0B4A35"/>
        <bgColor rgb="FF0B4A35"/>
      </patternFill>
    </fill>
    <fill>
      <patternFill patternType="solid">
        <fgColor rgb="FFDDEDD8"/>
        <bgColor rgb="FFDDEDD8"/>
      </patternFill>
    </fill>
    <fill>
      <patternFill patternType="solid">
        <fgColor rgb="FF1F5B46"/>
        <bgColor rgb="FF1F5B4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AF7"/>
        <bgColor rgb="FFF6FAF7"/>
      </patternFill>
    </fill>
  </fills>
  <borders count="53">
    <border/>
    <border>
      <left/>
      <top/>
      <bottom/>
    </border>
    <border>
      <top/>
      <bottom/>
    </border>
    <border>
      <right/>
      <top/>
      <bottom/>
    </border>
    <border>
      <left style="thin">
        <color rgb="FFC8D5CF"/>
      </left>
      <right style="thin">
        <color rgb="FFD9E2DD"/>
      </right>
      <top style="thin">
        <color rgb="FFC8D5CF"/>
      </top>
      <bottom style="thin">
        <color rgb="FFD9E2DD"/>
      </bottom>
    </border>
    <border>
      <left style="thin">
        <color rgb="FFD9E2DD"/>
      </left>
      <right style="thin">
        <color rgb="FFD9E2DD"/>
      </right>
      <top style="thin">
        <color rgb="FFC8D5CF"/>
      </top>
      <bottom style="thin">
        <color rgb="FFD9E2DD"/>
      </bottom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</border>
    <border>
      <left style="thin">
        <color rgb="FFD9E2DD"/>
      </left>
      <right style="thin">
        <color rgb="FFC8D5CF"/>
      </right>
      <top style="thin">
        <color rgb="FFC8D5CF"/>
      </top>
      <bottom style="thin">
        <color rgb="FFD9E2DD"/>
      </bottom>
    </border>
    <border>
      <left style="thin">
        <color rgb="FFC8D5CF"/>
      </left>
      <right style="thin">
        <color rgb="FFD9E2DD"/>
      </right>
      <top style="thin">
        <color rgb="FFD9E2DD"/>
      </top>
      <bottom style="thin">
        <color rgb="FFD9E2DD"/>
      </bottom>
    </border>
    <border>
      <left style="thin">
        <color rgb="FFD9E2DD"/>
      </left>
      <right style="thin">
        <color rgb="FFD9E2DD"/>
      </right>
      <top style="thin">
        <color rgb="FFD9E2DD"/>
      </top>
    </border>
    <border>
      <left style="thin">
        <color rgb="FFD9E2DD"/>
      </left>
      <right style="thin">
        <color rgb="FFC8D5CF"/>
      </right>
      <top style="thin">
        <color rgb="FFD9E2DD"/>
      </top>
      <bottom style="thin">
        <color rgb="FFD9E2DD"/>
      </bottom>
    </border>
    <border>
      <left style="thin">
        <color rgb="FFC8D5CF"/>
      </left>
      <right style="thin">
        <color rgb="FFD9E2DD"/>
      </right>
      <top style="thin">
        <color rgb="FFD9E2DD"/>
      </top>
    </border>
    <border>
      <left style="thin">
        <color rgb="FFD9E2DD"/>
      </left>
      <top style="thin">
        <color rgb="FFD9E2DD"/>
      </top>
    </border>
    <border>
      <right style="thin">
        <color rgb="FFD9E2DD"/>
      </right>
      <top style="thin">
        <color rgb="FFD9E2DD"/>
      </top>
    </border>
    <border>
      <left style="thin">
        <color rgb="FFD9E2DD"/>
      </left>
      <right style="thin">
        <color rgb="FFC8D5CF"/>
      </right>
      <top style="thin">
        <color rgb="FFD9E2DD"/>
      </top>
    </border>
    <border>
      <left style="thin">
        <color rgb="FFC8D5CF"/>
      </left>
    </border>
    <border>
      <right style="thin">
        <color rgb="FFC8D5CF"/>
      </right>
    </border>
    <border>
      <left style="thin">
        <color rgb="FFC8D5CF"/>
      </left>
      <right/>
      <top style="thin">
        <color rgb="FFB8D6B0"/>
      </top>
      <bottom style="thin">
        <color rgb="FFB8D6B0"/>
      </bottom>
    </border>
    <border>
      <left/>
      <right/>
      <top style="thin">
        <color rgb="FFB8D6B0"/>
      </top>
      <bottom style="thin">
        <color rgb="FFB8D6B0"/>
      </bottom>
    </border>
    <border>
      <left/>
      <right style="thin">
        <color rgb="FFC8D5CF"/>
      </right>
      <top style="thin">
        <color rgb="FFB8D6B0"/>
      </top>
      <bottom style="thin">
        <color rgb="FFB8D6B0"/>
      </bottom>
    </border>
    <border>
      <left style="thin">
        <color rgb="FFC8D5CF"/>
      </left>
      <right/>
      <top/>
      <bottom/>
    </border>
    <border>
      <left/>
      <right/>
      <top/>
      <bottom/>
    </border>
    <border>
      <left/>
      <right style="thin">
        <color rgb="FFC8D5CF"/>
      </right>
      <top/>
      <bottom/>
    </border>
    <border>
      <left style="thin">
        <color rgb="FFC8D5CF"/>
      </left>
      <right style="thin">
        <color rgb="FFD9E2DD"/>
      </right>
      <top/>
      <bottom style="thin">
        <color rgb="FFD9E2DD"/>
      </bottom>
    </border>
    <border>
      <left style="thin">
        <color rgb="FFD9E2DD"/>
      </left>
      <right style="thin">
        <color rgb="FFD9E2DD"/>
      </right>
      <top/>
      <bottom style="thin">
        <color rgb="FFD9E2DD"/>
      </bottom>
    </border>
    <border>
      <left style="thin">
        <color rgb="FFD9E2DD"/>
      </left>
      <right style="thin">
        <color rgb="FFC8D5CF"/>
      </right>
      <top/>
      <bottom style="thin">
        <color rgb="FFD9E2DD"/>
      </bottom>
    </border>
    <border>
      <left style="thin">
        <color rgb="FFC8D5CF"/>
      </left>
      <right style="thin">
        <color rgb="FFD9E2DD"/>
      </right>
      <top style="thin">
        <color rgb="FFD9E2DD"/>
      </top>
      <bottom/>
    </border>
    <border>
      <left style="thin">
        <color rgb="FFD9E2DD"/>
      </left>
      <right style="thin">
        <color rgb="FFD9E2DD"/>
      </right>
      <top style="thin">
        <color rgb="FFD9E2DD"/>
      </top>
      <bottom/>
    </border>
    <border>
      <left style="thin">
        <color rgb="FFD9E2DD"/>
      </left>
      <right style="thin">
        <color rgb="FFC8D5CF"/>
      </right>
      <top style="thin">
        <color rgb="FFD9E2DD"/>
      </top>
      <bottom/>
    </border>
    <border>
      <left style="thin">
        <color rgb="FFC8D5CF"/>
      </left>
      <right/>
      <top style="thin">
        <color rgb="FFE4D591"/>
      </top>
      <bottom style="thin">
        <color rgb="FFE4D591"/>
      </bottom>
    </border>
    <border>
      <left/>
      <right/>
      <top style="thin">
        <color rgb="FFE4D591"/>
      </top>
      <bottom style="thin">
        <color rgb="FFE4D591"/>
      </bottom>
    </border>
    <border>
      <left/>
      <right style="thin">
        <color rgb="FFC8D5CF"/>
      </right>
      <top style="thin">
        <color rgb="FFE4D591"/>
      </top>
      <bottom style="thin">
        <color rgb="FFE4D591"/>
      </bottom>
    </border>
    <border>
      <left style="thin">
        <color rgb="FFC8D5CF"/>
      </left>
      <top/>
      <bottom/>
    </border>
    <border>
      <right style="thin">
        <color rgb="FFC8D5CF"/>
      </right>
      <top/>
      <bottom/>
    </border>
    <border>
      <left style="thin">
        <color rgb="FFD9E2DD"/>
      </left>
      <top/>
      <bottom style="thin">
        <color rgb="FFD9E2DD"/>
      </bottom>
    </border>
    <border>
      <top/>
      <bottom style="thin">
        <color rgb="FFD9E2DD"/>
      </bottom>
    </border>
    <border>
      <right style="thin">
        <color rgb="FFC8D5CF"/>
      </right>
      <top/>
      <bottom style="thin">
        <color rgb="FFD9E2DD"/>
      </bottom>
    </border>
    <border>
      <left style="thin">
        <color rgb="FFD9E2DD"/>
      </left>
      <top style="thin">
        <color rgb="FFD9E2DD"/>
      </top>
      <bottom style="thin">
        <color rgb="FFD9E2DD"/>
      </bottom>
    </border>
    <border>
      <top style="thin">
        <color rgb="FFD9E2DD"/>
      </top>
      <bottom style="thin">
        <color rgb="FFD9E2DD"/>
      </bottom>
    </border>
    <border>
      <right style="thin">
        <color rgb="FFC8D5CF"/>
      </right>
      <top style="thin">
        <color rgb="FFD9E2DD"/>
      </top>
      <bottom style="thin">
        <color rgb="FFD9E2DD"/>
      </bottom>
    </border>
    <border>
      <left style="thin">
        <color rgb="FFD9E2DD"/>
      </left>
      <top style="thin">
        <color rgb="FFD9E2DD"/>
      </top>
      <bottom/>
    </border>
    <border>
      <top style="thin">
        <color rgb="FFD9E2DD"/>
      </top>
      <bottom/>
    </border>
    <border>
      <right style="thin">
        <color rgb="FFC8D5CF"/>
      </right>
      <top style="thin">
        <color rgb="FFD9E2DD"/>
      </top>
      <bottom/>
    </border>
    <border>
      <left style="thin">
        <color rgb="FFC8D5CF"/>
      </left>
      <right style="thin">
        <color rgb="FFD9E2DD"/>
      </right>
      <top style="thin">
        <color rgb="FFD9E2DD"/>
      </top>
      <bottom style="thin">
        <color rgb="FFC8D5CF"/>
      </bottom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C8D5CF"/>
      </bottom>
    </border>
    <border>
      <left style="thin">
        <color rgb="FFD9E2DD"/>
      </left>
      <top style="thin">
        <color rgb="FFD9E2DD"/>
      </top>
      <bottom style="thin">
        <color rgb="FFC8D5CF"/>
      </bottom>
    </border>
    <border>
      <top style="thin">
        <color rgb="FFD9E2DD"/>
      </top>
      <bottom style="thin">
        <color rgb="FFC8D5CF"/>
      </bottom>
    </border>
    <border>
      <right style="thin">
        <color rgb="FFC8D5CF"/>
      </right>
      <top style="thin">
        <color rgb="FFD9E2DD"/>
      </top>
      <bottom style="thin">
        <color rgb="FFC8D5CF"/>
      </bottom>
    </border>
    <border>
      <right style="thin">
        <color rgb="FFD9E2DD"/>
      </right>
      <top style="thin">
        <color rgb="FFD9E2DD"/>
      </top>
      <bottom style="thin">
        <color rgb="FFD9E2DD"/>
      </bottom>
    </border>
    <border>
      <top style="thin">
        <color rgb="FFD9E2DD"/>
      </top>
    </border>
    <border>
      <right style="thin">
        <color rgb="FFC8D5CF"/>
      </right>
      <top style="thin">
        <color rgb="FFD9E2DD"/>
      </top>
    </border>
    <border>
      <right style="thin">
        <color rgb="FFD9E2DD"/>
      </right>
      <top/>
      <bottom style="thin">
        <color rgb="FFD9E2DD"/>
      </bottom>
    </border>
    <border>
      <right style="thin">
        <color rgb="FFD9E2DD"/>
      </right>
      <top style="thin">
        <color rgb="FFD9E2DD"/>
      </top>
      <bottom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7" fillId="0" fontId="4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6" fillId="0" fontId="4" numFmtId="0" xfId="0" applyAlignment="1" applyBorder="1" applyFont="1">
      <alignment readingOrder="0" shrinkToFit="0" vertical="top" wrapText="1"/>
    </xf>
    <xf borderId="10" fillId="0" fontId="5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readingOrder="0" shrinkToFit="0" vertical="top" wrapText="1"/>
    </xf>
    <xf borderId="13" fillId="0" fontId="2" numFmtId="0" xfId="0" applyBorder="1" applyFont="1"/>
    <xf borderId="9" fillId="0" fontId="5" numFmtId="0" xfId="0" applyAlignment="1" applyBorder="1" applyFont="1">
      <alignment shrinkToFit="0" vertical="top" wrapText="1"/>
    </xf>
    <xf borderId="9" fillId="0" fontId="4" numFmtId="0" xfId="0" applyAlignment="1" applyBorder="1" applyFont="1">
      <alignment horizontal="left" readingOrder="0" shrinkToFit="0" vertical="top" wrapText="1"/>
    </xf>
    <xf borderId="14" fillId="0" fontId="5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6" fillId="0" fontId="5" numFmtId="0" xfId="0" applyAlignment="1" applyBorder="1" applyFont="1">
      <alignment shrinkToFit="0" vertical="top" wrapText="1"/>
    </xf>
    <xf borderId="17" fillId="3" fontId="3" numFmtId="0" xfId="0" applyAlignment="1" applyBorder="1" applyFill="1" applyFont="1">
      <alignment shrinkToFit="0" vertical="center" wrapText="1"/>
    </xf>
    <xf borderId="18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4" fontId="6" numFmtId="0" xfId="0" applyAlignment="1" applyBorder="1" applyFill="1" applyFont="1">
      <alignment horizontal="center" shrinkToFit="0" vertical="center" wrapText="1"/>
    </xf>
    <xf borderId="21" fillId="4" fontId="6" numFmtId="0" xfId="0" applyAlignment="1" applyBorder="1" applyFont="1">
      <alignment horizontal="center" shrinkToFit="0" vertical="center" wrapText="1"/>
    </xf>
    <xf borderId="22" fillId="4" fontId="6" numFmtId="0" xfId="0" applyAlignment="1" applyBorder="1" applyFont="1">
      <alignment horizontal="center" shrinkToFit="0" vertical="center" wrapText="1"/>
    </xf>
    <xf borderId="23" fillId="5" fontId="5" numFmtId="0" xfId="0" applyAlignment="1" applyBorder="1" applyFill="1" applyFont="1">
      <alignment shrinkToFit="0" vertical="top" wrapText="1"/>
    </xf>
    <xf borderId="24" fillId="5" fontId="4" numFmtId="0" xfId="0" applyAlignment="1" applyBorder="1" applyFont="1">
      <alignment horizontal="center" readingOrder="0" shrinkToFit="0" vertical="top" wrapText="1"/>
    </xf>
    <xf borderId="24" fillId="5" fontId="5" numFmtId="0" xfId="0" applyAlignment="1" applyBorder="1" applyFont="1">
      <alignment shrinkToFit="0" vertical="top" wrapText="1"/>
    </xf>
    <xf borderId="25" fillId="5" fontId="5" numFmtId="0" xfId="0" applyAlignment="1" applyBorder="1" applyFont="1">
      <alignment shrinkToFit="0" vertical="top" wrapText="1"/>
    </xf>
    <xf borderId="8" fillId="5" fontId="5" numFmtId="0" xfId="0" applyAlignment="1" applyBorder="1" applyFont="1">
      <alignment shrinkToFit="0" vertical="top" wrapText="1"/>
    </xf>
    <xf borderId="6" fillId="5" fontId="4" numFmtId="0" xfId="0" applyAlignment="1" applyBorder="1" applyFont="1">
      <alignment horizontal="center" readingOrder="0" shrinkToFit="0" vertical="top" wrapText="1"/>
    </xf>
    <xf borderId="6" fillId="5" fontId="5" numFmtId="0" xfId="0" applyAlignment="1" applyBorder="1" applyFont="1">
      <alignment shrinkToFit="0" vertical="top" wrapText="1"/>
    </xf>
    <xf borderId="10" fillId="5" fontId="5" numFmtId="0" xfId="0" applyAlignment="1" applyBorder="1" applyFont="1">
      <alignment shrinkToFit="0" vertical="top" wrapText="1"/>
    </xf>
    <xf borderId="8" fillId="5" fontId="4" numFmtId="0" xfId="0" applyAlignment="1" applyBorder="1" applyFont="1">
      <alignment readingOrder="0" shrinkToFit="0" vertical="top" wrapText="1"/>
    </xf>
    <xf borderId="26" fillId="5" fontId="5" numFmtId="0" xfId="0" applyAlignment="1" applyBorder="1" applyFont="1">
      <alignment shrinkToFit="0" vertical="top" wrapText="1"/>
    </xf>
    <xf borderId="27" fillId="5" fontId="4" numFmtId="0" xfId="0" applyAlignment="1" applyBorder="1" applyFont="1">
      <alignment horizontal="center" readingOrder="0" shrinkToFit="0" vertical="top" wrapText="1"/>
    </xf>
    <xf borderId="27" fillId="5" fontId="5" numFmtId="0" xfId="0" applyAlignment="1" applyBorder="1" applyFont="1">
      <alignment shrinkToFit="0" vertical="top" wrapText="1"/>
    </xf>
    <xf borderId="28" fillId="5" fontId="5" numFmtId="0" xfId="0" applyAlignment="1" applyBorder="1" applyFont="1">
      <alignment shrinkToFit="0" vertical="top" wrapText="1"/>
    </xf>
    <xf borderId="29" fillId="6" fontId="3" numFmtId="0" xfId="0" applyAlignment="1" applyBorder="1" applyFill="1" applyFont="1">
      <alignment shrinkToFit="0" vertical="center" wrapText="1"/>
    </xf>
    <xf borderId="30" fillId="6" fontId="3" numFmtId="0" xfId="0" applyAlignment="1" applyBorder="1" applyFont="1">
      <alignment shrinkToFit="0" vertical="center" wrapText="1"/>
    </xf>
    <xf borderId="31" fillId="6" fontId="3" numFmtId="0" xfId="0" applyAlignment="1" applyBorder="1" applyFont="1">
      <alignment shrinkToFit="0" vertical="center" wrapText="1"/>
    </xf>
    <xf borderId="23" fillId="5" fontId="3" numFmtId="0" xfId="0" applyAlignment="1" applyBorder="1" applyFont="1">
      <alignment shrinkToFit="0" vertical="top" wrapText="1"/>
    </xf>
    <xf borderId="24" fillId="5" fontId="4" numFmtId="0" xfId="0" applyAlignment="1" applyBorder="1" applyFont="1">
      <alignment readingOrder="0" shrinkToFit="0" vertical="top" wrapText="1"/>
    </xf>
    <xf borderId="24" fillId="5" fontId="3" numFmtId="0" xfId="0" applyAlignment="1" applyBorder="1" applyFont="1">
      <alignment shrinkToFit="0" vertical="top" wrapText="1"/>
    </xf>
    <xf borderId="26" fillId="5" fontId="3" numFmtId="0" xfId="0" applyAlignment="1" applyBorder="1" applyFont="1">
      <alignment shrinkToFit="0" vertical="top" wrapText="1"/>
    </xf>
    <xf borderId="27" fillId="5" fontId="3" numFmtId="0" xfId="0" applyAlignment="1" applyBorder="1" applyFont="1">
      <alignment shrinkToFit="0" vertical="top" wrapText="1"/>
    </xf>
    <xf borderId="32" fillId="2" fontId="6" numFmtId="0" xfId="0" applyAlignment="1" applyBorder="1" applyFont="1">
      <alignment shrinkToFit="0" vertical="center" wrapText="1"/>
    </xf>
    <xf borderId="33" fillId="0" fontId="2" numFmtId="0" xfId="0" applyBorder="1" applyFont="1"/>
    <xf borderId="8" fillId="5" fontId="3" numFmtId="0" xfId="0" applyAlignment="1" applyBorder="1" applyFont="1">
      <alignment shrinkToFit="0" vertical="top" wrapText="1"/>
    </xf>
    <xf borderId="6" fillId="5" fontId="4" numFmtId="0" xfId="0" applyAlignment="1" applyBorder="1" applyFont="1">
      <alignment readingOrder="0" shrinkToFit="0" vertical="top" wrapText="1"/>
    </xf>
    <xf borderId="23" fillId="7" fontId="3" numFmtId="0" xfId="0" applyAlignment="1" applyBorder="1" applyFill="1" applyFont="1">
      <alignment shrinkToFit="0" vertical="top" wrapText="1"/>
    </xf>
    <xf borderId="34" fillId="7" fontId="5" numFmtId="0" xfId="0" applyAlignment="1" applyBorder="1" applyFont="1">
      <alignment shrinkToFit="0" vertical="center" wrapText="1"/>
    </xf>
    <xf borderId="35" fillId="0" fontId="2" numFmtId="0" xfId="0" applyBorder="1" applyFont="1"/>
    <xf borderId="36" fillId="0" fontId="2" numFmtId="0" xfId="0" applyBorder="1" applyFont="1"/>
    <xf borderId="8" fillId="7" fontId="3" numFmtId="0" xfId="0" applyAlignment="1" applyBorder="1" applyFont="1">
      <alignment shrinkToFit="0" vertical="top" wrapText="1"/>
    </xf>
    <xf borderId="37" fillId="7" fontId="5" numFmtId="0" xfId="0" applyAlignment="1" applyBorder="1" applyFont="1">
      <alignment shrinkToFit="0" vertical="center" wrapText="1"/>
    </xf>
    <xf borderId="38" fillId="0" fontId="2" numFmtId="0" xfId="0" applyBorder="1" applyFont="1"/>
    <xf borderId="39" fillId="0" fontId="2" numFmtId="0" xfId="0" applyBorder="1" applyFont="1"/>
    <xf borderId="26" fillId="7" fontId="3" numFmtId="0" xfId="0" applyAlignment="1" applyBorder="1" applyFont="1">
      <alignment shrinkToFit="0" vertical="top" wrapText="1"/>
    </xf>
    <xf borderId="40" fillId="7" fontId="5" numFmtId="0" xfId="0" applyAlignment="1" applyBorder="1" applyFont="1">
      <alignment shrinkToFit="0" vertical="center" wrapText="1"/>
    </xf>
    <xf borderId="41" fillId="0" fontId="2" numFmtId="0" xfId="0" applyBorder="1" applyFont="1"/>
    <xf borderId="42" fillId="0" fontId="2" numFmtId="0" xfId="0" applyBorder="1" applyFont="1"/>
    <xf borderId="20" fillId="4" fontId="6" numFmtId="0" xfId="0" applyAlignment="1" applyBorder="1" applyFont="1">
      <alignment horizontal="center" shrinkToFit="0" vertical="top" wrapText="1"/>
    </xf>
    <xf borderId="21" fillId="4" fontId="6" numFmtId="0" xfId="0" applyAlignment="1" applyBorder="1" applyFont="1">
      <alignment horizontal="center" shrinkToFit="0" vertical="top" wrapText="1"/>
    </xf>
    <xf borderId="1" fillId="4" fontId="6" numFmtId="0" xfId="0" applyAlignment="1" applyBorder="1" applyFont="1">
      <alignment horizontal="center" shrinkToFit="0" vertical="top" wrapText="1"/>
    </xf>
    <xf borderId="37" fillId="5" fontId="5" numFmtId="0" xfId="0" applyAlignment="1" applyBorder="1" applyFont="1">
      <alignment shrinkToFit="0" vertical="top" wrapText="1"/>
    </xf>
    <xf borderId="43" fillId="5" fontId="5" numFmtId="0" xfId="0" applyAlignment="1" applyBorder="1" applyFont="1">
      <alignment shrinkToFit="0" vertical="top" wrapText="1"/>
    </xf>
    <xf borderId="44" fillId="5" fontId="5" numFmtId="0" xfId="0" applyAlignment="1" applyBorder="1" applyFont="1">
      <alignment shrinkToFit="0" vertical="top" wrapText="1"/>
    </xf>
    <xf borderId="45" fillId="5" fontId="5" numFmtId="0" xfId="0" applyAlignment="1" applyBorder="1" applyFont="1">
      <alignment shrinkToFit="0" vertical="top" wrapText="1"/>
    </xf>
    <xf borderId="46" fillId="0" fontId="2" numFmtId="0" xfId="0" applyBorder="1" applyFont="1"/>
    <xf borderId="47" fillId="0" fontId="2" numFmtId="0" xfId="0" applyBorder="1" applyFont="1"/>
    <xf borderId="7" fillId="0" fontId="5" numFmtId="0" xfId="0" applyAlignment="1" applyBorder="1" applyFont="1">
      <alignment shrinkToFit="0" vertical="top" wrapText="1"/>
    </xf>
    <xf borderId="37" fillId="0" fontId="5" numFmtId="0" xfId="0" applyAlignment="1" applyBorder="1" applyFont="1">
      <alignment shrinkToFit="0" vertical="top" wrapText="1"/>
    </xf>
    <xf borderId="48" fillId="0" fontId="2" numFmtId="0" xfId="0" applyBorder="1" applyFont="1"/>
    <xf borderId="12" fillId="0" fontId="5" numFmtId="0" xfId="0" applyAlignment="1" applyBorder="1" applyFont="1">
      <alignment shrinkToFit="0" vertical="top" wrapText="1"/>
    </xf>
    <xf borderId="49" fillId="0" fontId="2" numFmtId="0" xfId="0" applyBorder="1" applyFont="1"/>
    <xf borderId="50" fillId="0" fontId="2" numFmtId="0" xfId="0" applyBorder="1" applyFont="1"/>
    <xf borderId="24" fillId="5" fontId="5" numFmtId="0" xfId="0" applyAlignment="1" applyBorder="1" applyFont="1">
      <alignment horizontal="center" shrinkToFit="0" vertical="top" wrapText="1"/>
    </xf>
    <xf borderId="34" fillId="5" fontId="5" numFmtId="0" xfId="0" applyAlignment="1" applyBorder="1" applyFont="1">
      <alignment shrinkToFit="0" vertical="top" wrapText="1"/>
    </xf>
    <xf borderId="6" fillId="5" fontId="5" numFmtId="0" xfId="0" applyAlignment="1" applyBorder="1" applyFont="1">
      <alignment horizontal="center" shrinkToFit="0" vertical="top" wrapText="1"/>
    </xf>
    <xf borderId="27" fillId="5" fontId="5" numFmtId="0" xfId="0" applyAlignment="1" applyBorder="1" applyFont="1">
      <alignment horizontal="center" shrinkToFit="0" vertical="top" wrapText="1"/>
    </xf>
    <xf borderId="40" fillId="5" fontId="5" numFmtId="0" xfId="0" applyAlignment="1" applyBorder="1" applyFont="1">
      <alignment shrinkToFit="0" vertical="top" wrapText="1"/>
    </xf>
    <xf borderId="51" fillId="0" fontId="2" numFmtId="0" xfId="0" applyBorder="1" applyFont="1"/>
    <xf borderId="52" fillId="0" fontId="2" numFmtId="0" xfId="0" applyBorder="1" applyFont="1"/>
    <xf borderId="34" fillId="5" fontId="3" numFmtId="0" xfId="0" applyAlignment="1" applyBorder="1" applyFont="1">
      <alignment shrinkToFit="0" vertical="top" wrapText="1"/>
    </xf>
    <xf borderId="16" fillId="0" fontId="2" numFmtId="0" xfId="0" applyBorder="1" applyFont="1"/>
    <xf borderId="6" fillId="2" fontId="7" numFmtId="0" xfId="0" applyAlignment="1" applyBorder="1" applyFont="1">
      <alignment horizontal="center" vertical="center"/>
    </xf>
    <xf borderId="6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16.0"/>
    <col customWidth="1" min="3" max="3" width="18.0"/>
    <col customWidth="1" min="4" max="4" width="16.0"/>
    <col customWidth="1" min="5" max="5" width="26.0"/>
    <col customWidth="1" min="6" max="6" width="24.0"/>
    <col customWidth="1" min="7" max="8" width="28.0"/>
    <col customWidth="1" min="9" max="9" width="30.0"/>
    <col customWidth="1" min="10" max="26" width="8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3.25" customHeight="1">
      <c r="A2" s="4" t="s">
        <v>1</v>
      </c>
      <c r="B2" s="5"/>
      <c r="C2" s="6" t="s">
        <v>2</v>
      </c>
      <c r="D2" s="5"/>
      <c r="E2" s="7" t="s">
        <v>3</v>
      </c>
      <c r="F2" s="8"/>
      <c r="G2" s="7" t="s">
        <v>4</v>
      </c>
      <c r="H2" s="5"/>
      <c r="I2" s="9"/>
    </row>
    <row r="3" ht="15.0" customHeight="1">
      <c r="A3" s="10" t="s">
        <v>5</v>
      </c>
      <c r="B3" s="11"/>
      <c r="C3" s="11"/>
      <c r="D3" s="11"/>
      <c r="E3" s="12" t="s">
        <v>6</v>
      </c>
      <c r="F3" s="11"/>
      <c r="G3" s="12" t="s">
        <v>7</v>
      </c>
      <c r="H3" s="13"/>
      <c r="I3" s="14"/>
    </row>
    <row r="4">
      <c r="A4" s="15" t="s">
        <v>8</v>
      </c>
      <c r="B4" s="16"/>
      <c r="C4" s="17"/>
      <c r="D4" s="18"/>
      <c r="E4" s="6" t="s">
        <v>9</v>
      </c>
      <c r="F4" s="19"/>
      <c r="H4" s="18"/>
      <c r="I4" s="20"/>
    </row>
    <row r="5" ht="15.0" customHeight="1">
      <c r="A5" s="21"/>
      <c r="B5" s="22"/>
      <c r="C5" s="22"/>
      <c r="D5" s="22"/>
      <c r="E5" s="22"/>
      <c r="F5" s="22"/>
      <c r="G5" s="22"/>
      <c r="H5" s="22"/>
      <c r="I5" s="23"/>
    </row>
    <row r="6" ht="15.0" customHeight="1">
      <c r="A6" s="24" t="s">
        <v>10</v>
      </c>
      <c r="B6" s="25" t="s">
        <v>11</v>
      </c>
      <c r="C6" s="26">
        <v>50.0</v>
      </c>
      <c r="D6" s="26" t="s">
        <v>12</v>
      </c>
      <c r="E6" s="26">
        <f>SUM(B8:B13)</f>
        <v>0</v>
      </c>
      <c r="F6" s="26" t="s">
        <v>13</v>
      </c>
      <c r="G6" s="26">
        <f>C6-E6</f>
        <v>50</v>
      </c>
      <c r="H6" s="25"/>
      <c r="I6" s="27"/>
    </row>
    <row r="7" ht="15.0" customHeight="1">
      <c r="A7" s="28" t="s">
        <v>14</v>
      </c>
      <c r="B7" s="29" t="s">
        <v>15</v>
      </c>
      <c r="C7" s="29" t="s">
        <v>16</v>
      </c>
      <c r="D7" s="29"/>
      <c r="E7" s="29" t="s">
        <v>17</v>
      </c>
      <c r="F7" s="29"/>
      <c r="G7" s="29"/>
      <c r="H7" s="29"/>
      <c r="I7" s="30"/>
    </row>
    <row r="8" ht="50.25" customHeight="1">
      <c r="A8" s="31" t="s">
        <v>18</v>
      </c>
      <c r="B8" s="32"/>
      <c r="C8" s="33" t="s">
        <v>19</v>
      </c>
      <c r="D8" s="33"/>
      <c r="E8" s="33"/>
      <c r="F8" s="33"/>
      <c r="G8" s="33"/>
      <c r="H8" s="33"/>
      <c r="I8" s="34"/>
    </row>
    <row r="9" ht="46.5" customHeight="1">
      <c r="A9" s="35" t="s">
        <v>20</v>
      </c>
      <c r="B9" s="36"/>
      <c r="C9" s="37" t="s">
        <v>21</v>
      </c>
      <c r="D9" s="37"/>
      <c r="E9" s="37"/>
      <c r="F9" s="37"/>
      <c r="G9" s="37"/>
      <c r="H9" s="37"/>
      <c r="I9" s="38"/>
    </row>
    <row r="10" ht="38.25" customHeight="1">
      <c r="A10" s="39" t="s">
        <v>22</v>
      </c>
      <c r="B10" s="36"/>
      <c r="C10" s="37" t="s">
        <v>23</v>
      </c>
      <c r="D10" s="37"/>
      <c r="E10" s="37"/>
      <c r="F10" s="37"/>
      <c r="G10" s="37"/>
      <c r="H10" s="37"/>
      <c r="I10" s="38"/>
    </row>
    <row r="11" ht="55.5" customHeight="1">
      <c r="A11" s="35" t="s">
        <v>24</v>
      </c>
      <c r="B11" s="36"/>
      <c r="C11" s="37" t="s">
        <v>25</v>
      </c>
      <c r="D11" s="37"/>
      <c r="E11" s="37"/>
      <c r="F11" s="37"/>
      <c r="G11" s="37"/>
      <c r="H11" s="37"/>
      <c r="I11" s="38"/>
    </row>
    <row r="12" ht="51.0" customHeight="1">
      <c r="A12" s="35" t="s">
        <v>26</v>
      </c>
      <c r="B12" s="36"/>
      <c r="C12" s="37" t="s">
        <v>27</v>
      </c>
      <c r="D12" s="37"/>
      <c r="E12" s="37"/>
      <c r="F12" s="37"/>
      <c r="G12" s="37"/>
      <c r="H12" s="37"/>
      <c r="I12" s="38"/>
    </row>
    <row r="13" ht="54.0" customHeight="1">
      <c r="A13" s="40" t="s">
        <v>28</v>
      </c>
      <c r="B13" s="41"/>
      <c r="C13" s="42" t="s">
        <v>29</v>
      </c>
      <c r="D13" s="42"/>
      <c r="E13" s="42"/>
      <c r="F13" s="42"/>
      <c r="G13" s="42"/>
      <c r="H13" s="42"/>
      <c r="I13" s="43"/>
    </row>
    <row r="14" ht="15.0" customHeight="1">
      <c r="A14" s="21" t="s">
        <v>30</v>
      </c>
      <c r="B14" s="22">
        <f>SUM(B8:B13)</f>
        <v>0</v>
      </c>
      <c r="C14" s="22"/>
      <c r="D14" s="22"/>
      <c r="E14" s="22"/>
      <c r="F14" s="22"/>
      <c r="G14" s="22"/>
      <c r="H14" s="22"/>
      <c r="I14" s="23"/>
    </row>
    <row r="15" ht="15.0" customHeight="1">
      <c r="A15" s="44" t="s">
        <v>31</v>
      </c>
      <c r="B15" s="45" t="s">
        <v>32</v>
      </c>
      <c r="C15" s="45"/>
      <c r="D15" s="45" t="s">
        <v>33</v>
      </c>
      <c r="E15" s="45" t="str">
        <f>IF(C15="","",IF(C15&lt;=2,"Mostly normal",IF(C15&lt;=4,"Noticed",IF(C15&lt;=6,"Marked","Dangerous"))))</f>
        <v/>
      </c>
      <c r="F15" s="45"/>
      <c r="G15" s="45"/>
      <c r="H15" s="45"/>
      <c r="I15" s="46"/>
    </row>
    <row r="16" ht="24.0" customHeight="1">
      <c r="A16" s="47" t="s">
        <v>34</v>
      </c>
      <c r="B16" s="48"/>
      <c r="C16" s="33"/>
      <c r="D16" s="33"/>
      <c r="E16" s="49" t="s">
        <v>35</v>
      </c>
      <c r="F16" s="33"/>
      <c r="G16" s="33"/>
      <c r="H16" s="33"/>
      <c r="I16" s="34"/>
    </row>
    <row r="17" ht="27.0" customHeight="1">
      <c r="A17" s="50" t="s">
        <v>36</v>
      </c>
      <c r="B17" s="42"/>
      <c r="C17" s="42"/>
      <c r="D17" s="42"/>
      <c r="E17" s="51" t="s">
        <v>37</v>
      </c>
      <c r="F17" s="42"/>
      <c r="G17" s="42"/>
      <c r="H17" s="42"/>
      <c r="I17" s="43"/>
    </row>
    <row r="18" ht="15.0" customHeight="1">
      <c r="A18" s="21"/>
      <c r="B18" s="22"/>
      <c r="C18" s="22"/>
      <c r="D18" s="22"/>
      <c r="E18" s="22"/>
      <c r="F18" s="22"/>
      <c r="G18" s="22"/>
      <c r="H18" s="22"/>
      <c r="I18" s="23"/>
    </row>
    <row r="19" ht="15.0" customHeight="1">
      <c r="A19" s="52" t="s">
        <v>38</v>
      </c>
      <c r="B19" s="2"/>
      <c r="C19" s="2"/>
      <c r="D19" s="2"/>
      <c r="E19" s="2"/>
      <c r="F19" s="2"/>
      <c r="G19" s="2"/>
      <c r="H19" s="2"/>
      <c r="I19" s="53"/>
    </row>
    <row r="20" ht="24.0" customHeight="1">
      <c r="A20" s="47" t="s">
        <v>39</v>
      </c>
      <c r="B20" s="49"/>
      <c r="C20" s="49"/>
      <c r="D20" s="49" t="s">
        <v>40</v>
      </c>
      <c r="E20" s="33"/>
      <c r="F20" s="33"/>
      <c r="G20" s="49" t="s">
        <v>41</v>
      </c>
      <c r="H20" s="33"/>
      <c r="I20" s="34"/>
    </row>
    <row r="21" ht="15.0" customHeight="1">
      <c r="A21" s="35"/>
      <c r="B21" s="37"/>
      <c r="C21" s="37"/>
      <c r="D21" s="37"/>
      <c r="E21" s="37"/>
      <c r="F21" s="37"/>
      <c r="G21" s="37"/>
      <c r="H21" s="37"/>
      <c r="I21" s="38"/>
    </row>
    <row r="22" ht="24.0" customHeight="1">
      <c r="A22" s="50" t="s">
        <v>42</v>
      </c>
      <c r="B22" s="42"/>
      <c r="C22" s="42"/>
      <c r="D22" s="42"/>
      <c r="E22" s="42"/>
      <c r="F22" s="42"/>
      <c r="G22" s="42"/>
      <c r="H22" s="42"/>
      <c r="I22" s="43"/>
    </row>
    <row r="23" ht="15.0" customHeight="1">
      <c r="A23" s="21"/>
      <c r="B23" s="22"/>
      <c r="C23" s="22"/>
      <c r="D23" s="22"/>
      <c r="E23" s="22"/>
      <c r="F23" s="22"/>
      <c r="G23" s="22"/>
      <c r="H23" s="22"/>
      <c r="I23" s="23"/>
    </row>
    <row r="24" ht="15.0" customHeight="1">
      <c r="A24" s="52" t="s">
        <v>43</v>
      </c>
      <c r="B24" s="2"/>
      <c r="C24" s="2"/>
      <c r="D24" s="2"/>
      <c r="E24" s="2"/>
      <c r="F24" s="2"/>
      <c r="G24" s="2"/>
      <c r="H24" s="2"/>
      <c r="I24" s="53"/>
    </row>
    <row r="25" ht="15.0" customHeight="1">
      <c r="A25" s="28" t="s">
        <v>44</v>
      </c>
      <c r="B25" s="29" t="s">
        <v>45</v>
      </c>
      <c r="C25" s="29" t="s">
        <v>46</v>
      </c>
      <c r="D25" s="29" t="s">
        <v>47</v>
      </c>
      <c r="E25" s="29" t="s">
        <v>48</v>
      </c>
      <c r="F25" s="29" t="s">
        <v>49</v>
      </c>
      <c r="G25" s="29" t="s">
        <v>50</v>
      </c>
      <c r="H25" s="29" t="s">
        <v>51</v>
      </c>
      <c r="I25" s="30" t="s">
        <v>52</v>
      </c>
    </row>
    <row r="26" ht="66.0" customHeight="1">
      <c r="A26" s="54" t="s">
        <v>53</v>
      </c>
      <c r="B26" s="55"/>
      <c r="C26" s="55"/>
      <c r="D26" s="55"/>
      <c r="E26" s="55"/>
      <c r="F26" s="55"/>
      <c r="G26" s="55"/>
      <c r="H26" s="55"/>
      <c r="I26" s="38"/>
    </row>
    <row r="27" ht="55.5" customHeight="1">
      <c r="A27" s="54" t="s">
        <v>54</v>
      </c>
      <c r="B27" s="37"/>
      <c r="C27" s="37"/>
      <c r="D27" s="37"/>
      <c r="E27" s="37"/>
      <c r="F27" s="37"/>
      <c r="G27" s="37"/>
      <c r="H27" s="37"/>
      <c r="I27" s="38"/>
    </row>
    <row r="28" ht="55.5" customHeight="1">
      <c r="A28" s="54" t="s">
        <v>55</v>
      </c>
      <c r="B28" s="37"/>
      <c r="C28" s="37"/>
      <c r="D28" s="37"/>
      <c r="E28" s="37"/>
      <c r="F28" s="37"/>
      <c r="G28" s="37"/>
      <c r="H28" s="37"/>
      <c r="I28" s="38"/>
    </row>
    <row r="29" ht="15.0" customHeight="1">
      <c r="A29" s="21"/>
      <c r="B29" s="22"/>
      <c r="C29" s="22"/>
      <c r="D29" s="22"/>
      <c r="E29" s="22"/>
      <c r="F29" s="22"/>
      <c r="G29" s="22"/>
      <c r="H29" s="22"/>
      <c r="I29" s="23"/>
    </row>
    <row r="30" ht="15.0" customHeight="1">
      <c r="A30" s="52" t="s">
        <v>56</v>
      </c>
      <c r="B30" s="2"/>
      <c r="C30" s="2"/>
      <c r="D30" s="2"/>
      <c r="E30" s="2"/>
      <c r="F30" s="2"/>
      <c r="G30" s="2"/>
      <c r="H30" s="2"/>
      <c r="I30" s="53"/>
    </row>
    <row r="31" ht="36.0" customHeight="1">
      <c r="A31" s="56" t="s">
        <v>57</v>
      </c>
      <c r="B31" s="57" t="s">
        <v>58</v>
      </c>
      <c r="C31" s="58"/>
      <c r="D31" s="58"/>
      <c r="E31" s="58"/>
      <c r="F31" s="58"/>
      <c r="G31" s="58"/>
      <c r="H31" s="58"/>
      <c r="I31" s="59"/>
    </row>
    <row r="32" ht="36.0" customHeight="1">
      <c r="A32" s="60" t="s">
        <v>53</v>
      </c>
      <c r="B32" s="61" t="s">
        <v>59</v>
      </c>
      <c r="C32" s="62"/>
      <c r="D32" s="62"/>
      <c r="E32" s="62"/>
      <c r="F32" s="62"/>
      <c r="G32" s="62"/>
      <c r="H32" s="62"/>
      <c r="I32" s="63"/>
    </row>
    <row r="33" ht="36.0" customHeight="1">
      <c r="A33" s="60" t="s">
        <v>60</v>
      </c>
      <c r="B33" s="61" t="s">
        <v>61</v>
      </c>
      <c r="C33" s="62"/>
      <c r="D33" s="62"/>
      <c r="E33" s="62"/>
      <c r="F33" s="62"/>
      <c r="G33" s="62"/>
      <c r="H33" s="62"/>
      <c r="I33" s="63"/>
    </row>
    <row r="34" ht="36.0" customHeight="1">
      <c r="A34" s="60" t="s">
        <v>62</v>
      </c>
      <c r="B34" s="61" t="s">
        <v>63</v>
      </c>
      <c r="C34" s="62"/>
      <c r="D34" s="62"/>
      <c r="E34" s="62"/>
      <c r="F34" s="62"/>
      <c r="G34" s="62"/>
      <c r="H34" s="62"/>
      <c r="I34" s="63"/>
    </row>
    <row r="35" ht="36.0" customHeight="1">
      <c r="A35" s="60" t="s">
        <v>64</v>
      </c>
      <c r="B35" s="61" t="s">
        <v>65</v>
      </c>
      <c r="C35" s="62"/>
      <c r="D35" s="62"/>
      <c r="E35" s="62"/>
      <c r="F35" s="62"/>
      <c r="G35" s="62"/>
      <c r="H35" s="62"/>
      <c r="I35" s="63"/>
    </row>
    <row r="36" ht="36.0" customHeight="1">
      <c r="A36" s="64" t="s">
        <v>66</v>
      </c>
      <c r="B36" s="65" t="s">
        <v>67</v>
      </c>
      <c r="C36" s="66"/>
      <c r="D36" s="66"/>
      <c r="E36" s="66"/>
      <c r="F36" s="66"/>
      <c r="G36" s="66"/>
      <c r="H36" s="66"/>
      <c r="I36" s="67"/>
    </row>
    <row r="37" ht="15.0" customHeight="1">
      <c r="A37" s="21"/>
      <c r="B37" s="22"/>
      <c r="C37" s="22"/>
      <c r="D37" s="22"/>
      <c r="E37" s="22"/>
      <c r="F37" s="22"/>
      <c r="G37" s="22"/>
      <c r="H37" s="22"/>
      <c r="I37" s="23"/>
    </row>
    <row r="38" ht="15.0" customHeight="1">
      <c r="A38" s="52" t="s">
        <v>68</v>
      </c>
      <c r="B38" s="2"/>
      <c r="C38" s="2"/>
      <c r="D38" s="2"/>
      <c r="E38" s="2"/>
      <c r="F38" s="2"/>
      <c r="G38" s="2"/>
      <c r="H38" s="2"/>
      <c r="I38" s="53"/>
    </row>
    <row r="39" ht="15.0" customHeight="1">
      <c r="A39" s="68" t="s">
        <v>69</v>
      </c>
      <c r="B39" s="69" t="s">
        <v>70</v>
      </c>
      <c r="C39" s="70" t="s">
        <v>16</v>
      </c>
      <c r="D39" s="2"/>
      <c r="E39" s="2"/>
      <c r="F39" s="2"/>
      <c r="G39" s="2"/>
      <c r="H39" s="2"/>
      <c r="I39" s="53"/>
    </row>
    <row r="40" ht="27.75" customHeight="1">
      <c r="A40" s="35"/>
      <c r="B40" s="37"/>
      <c r="C40" s="71"/>
      <c r="D40" s="62"/>
      <c r="E40" s="62"/>
      <c r="F40" s="62"/>
      <c r="G40" s="62"/>
      <c r="H40" s="62"/>
      <c r="I40" s="63"/>
    </row>
    <row r="41" ht="27.75" customHeight="1">
      <c r="A41" s="35"/>
      <c r="B41" s="37"/>
      <c r="C41" s="71"/>
      <c r="D41" s="62"/>
      <c r="E41" s="62"/>
      <c r="F41" s="62"/>
      <c r="G41" s="62"/>
      <c r="H41" s="62"/>
      <c r="I41" s="63"/>
    </row>
    <row r="42" ht="27.75" customHeight="1">
      <c r="A42" s="35"/>
      <c r="B42" s="37"/>
      <c r="C42" s="71"/>
      <c r="D42" s="62"/>
      <c r="E42" s="62"/>
      <c r="F42" s="62"/>
      <c r="G42" s="62"/>
      <c r="H42" s="62"/>
      <c r="I42" s="63"/>
    </row>
    <row r="43" ht="27.75" customHeight="1">
      <c r="A43" s="72"/>
      <c r="B43" s="73"/>
      <c r="C43" s="74"/>
      <c r="D43" s="75"/>
      <c r="E43" s="75"/>
      <c r="F43" s="75"/>
      <c r="G43" s="75"/>
      <c r="H43" s="75"/>
      <c r="I43" s="76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I1"/>
    <mergeCell ref="B4:C4"/>
    <mergeCell ref="A19:I19"/>
    <mergeCell ref="A24:I24"/>
    <mergeCell ref="A30:I30"/>
    <mergeCell ref="B31:I31"/>
    <mergeCell ref="B32:I32"/>
    <mergeCell ref="C41:I41"/>
    <mergeCell ref="C42:I42"/>
    <mergeCell ref="C43:I43"/>
    <mergeCell ref="B33:I33"/>
    <mergeCell ref="B34:I34"/>
    <mergeCell ref="B35:I35"/>
    <mergeCell ref="B36:I36"/>
    <mergeCell ref="A38:I38"/>
    <mergeCell ref="C39:I39"/>
    <mergeCell ref="C40:I40"/>
  </mergeCells>
  <dataValidations>
    <dataValidation type="list" allowBlank="1" sqref="C26:C28">
      <formula1>"Physical,Supernatural"</formula1>
    </dataValidation>
    <dataValidation type="list" allowBlank="1" sqref="D26:D28">
      <formula1>"Damage,Support"</formula1>
    </dataValidation>
    <dataValidation type="decimal" allowBlank="1" showInputMessage="1" showErrorMessage="1" prompt="Malas - Enter a whole number from 0 to 10." sqref="C15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8.0"/>
    <col customWidth="1" min="3" max="3" width="20.0"/>
    <col customWidth="1" min="4" max="4" width="18.0"/>
    <col customWidth="1" min="5" max="5" width="22.0"/>
    <col customWidth="1" min="6" max="6" width="24.0"/>
    <col customWidth="1" min="7" max="8" width="28.0"/>
    <col customWidth="1" min="9" max="9" width="26.0"/>
    <col customWidth="1" min="10" max="26" width="8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4" t="s">
        <v>1</v>
      </c>
      <c r="B2" s="8" t="s">
        <v>71</v>
      </c>
      <c r="C2" s="6" t="s">
        <v>2</v>
      </c>
      <c r="D2" s="8" t="s">
        <v>72</v>
      </c>
      <c r="E2" s="6" t="s">
        <v>73</v>
      </c>
      <c r="F2" s="8" t="s">
        <v>74</v>
      </c>
      <c r="G2" s="6" t="s">
        <v>9</v>
      </c>
      <c r="H2" s="8" t="s">
        <v>75</v>
      </c>
      <c r="I2" s="77"/>
    </row>
    <row r="3" ht="51.75" customHeight="1">
      <c r="A3" s="10" t="s">
        <v>5</v>
      </c>
      <c r="B3" s="78" t="s">
        <v>76</v>
      </c>
      <c r="C3" s="62"/>
      <c r="D3" s="79"/>
      <c r="E3" s="7" t="s">
        <v>3</v>
      </c>
      <c r="F3" s="11" t="s">
        <v>77</v>
      </c>
      <c r="G3" s="7" t="s">
        <v>4</v>
      </c>
      <c r="H3" s="78" t="s">
        <v>78</v>
      </c>
      <c r="I3" s="63"/>
    </row>
    <row r="4" ht="37.5" customHeight="1">
      <c r="A4" s="15" t="s">
        <v>8</v>
      </c>
      <c r="B4" s="80" t="s">
        <v>79</v>
      </c>
      <c r="C4" s="81"/>
      <c r="D4" s="17"/>
      <c r="E4" s="12" t="s">
        <v>6</v>
      </c>
      <c r="F4" s="18" t="s">
        <v>80</v>
      </c>
      <c r="G4" s="12" t="s">
        <v>7</v>
      </c>
      <c r="H4" s="80" t="s">
        <v>81</v>
      </c>
      <c r="I4" s="82"/>
    </row>
    <row r="5" ht="15.0" customHeight="1">
      <c r="A5" s="21"/>
      <c r="B5" s="22"/>
      <c r="C5" s="22"/>
      <c r="D5" s="22"/>
      <c r="E5" s="22"/>
      <c r="F5" s="22"/>
      <c r="G5" s="22"/>
      <c r="H5" s="22"/>
      <c r="I5" s="23"/>
    </row>
    <row r="6" ht="15.0" customHeight="1">
      <c r="A6" s="24" t="s">
        <v>10</v>
      </c>
      <c r="B6" s="25" t="s">
        <v>11</v>
      </c>
      <c r="C6" s="26">
        <v>50.0</v>
      </c>
      <c r="D6" s="26" t="s">
        <v>12</v>
      </c>
      <c r="E6" s="26">
        <f>SUM(B8:B13)</f>
        <v>50</v>
      </c>
      <c r="F6" s="26" t="s">
        <v>13</v>
      </c>
      <c r="G6" s="26">
        <f>C6-E6</f>
        <v>0</v>
      </c>
      <c r="H6" s="25"/>
      <c r="I6" s="27"/>
    </row>
    <row r="7" ht="15.0" customHeight="1">
      <c r="A7" s="28" t="s">
        <v>14</v>
      </c>
      <c r="B7" s="29" t="s">
        <v>15</v>
      </c>
      <c r="C7" s="29" t="s">
        <v>16</v>
      </c>
      <c r="D7" s="29"/>
      <c r="E7" s="29" t="s">
        <v>17</v>
      </c>
      <c r="F7" s="29"/>
      <c r="G7" s="29"/>
      <c r="H7" s="29"/>
      <c r="I7" s="30"/>
    </row>
    <row r="8" ht="33.0" customHeight="1">
      <c r="A8" s="31" t="s">
        <v>18</v>
      </c>
      <c r="B8" s="83">
        <v>8.0</v>
      </c>
      <c r="C8" s="33" t="s">
        <v>19</v>
      </c>
      <c r="D8" s="33"/>
      <c r="E8" s="84" t="s">
        <v>82</v>
      </c>
      <c r="F8" s="58"/>
      <c r="G8" s="58"/>
      <c r="H8" s="58"/>
      <c r="I8" s="59"/>
    </row>
    <row r="9" ht="33.0" customHeight="1">
      <c r="A9" s="35" t="s">
        <v>20</v>
      </c>
      <c r="B9" s="85">
        <v>9.0</v>
      </c>
      <c r="C9" s="37" t="s">
        <v>21</v>
      </c>
      <c r="D9" s="37"/>
      <c r="E9" s="71" t="s">
        <v>83</v>
      </c>
      <c r="F9" s="62"/>
      <c r="G9" s="62"/>
      <c r="H9" s="62"/>
      <c r="I9" s="63"/>
    </row>
    <row r="10" ht="33.0" customHeight="1">
      <c r="A10" s="35" t="s">
        <v>22</v>
      </c>
      <c r="B10" s="85">
        <v>10.0</v>
      </c>
      <c r="C10" s="37" t="s">
        <v>23</v>
      </c>
      <c r="D10" s="37"/>
      <c r="E10" s="71" t="s">
        <v>84</v>
      </c>
      <c r="F10" s="62"/>
      <c r="G10" s="62"/>
      <c r="H10" s="62"/>
      <c r="I10" s="63"/>
    </row>
    <row r="11" ht="33.0" customHeight="1">
      <c r="A11" s="35" t="s">
        <v>24</v>
      </c>
      <c r="B11" s="85">
        <v>7.0</v>
      </c>
      <c r="C11" s="37" t="s">
        <v>25</v>
      </c>
      <c r="D11" s="37"/>
      <c r="E11" s="71" t="s">
        <v>85</v>
      </c>
      <c r="F11" s="62"/>
      <c r="G11" s="62"/>
      <c r="H11" s="62"/>
      <c r="I11" s="63"/>
    </row>
    <row r="12" ht="33.0" customHeight="1">
      <c r="A12" s="35" t="s">
        <v>26</v>
      </c>
      <c r="B12" s="85">
        <v>9.0</v>
      </c>
      <c r="C12" s="37" t="s">
        <v>27</v>
      </c>
      <c r="D12" s="37"/>
      <c r="E12" s="71" t="s">
        <v>86</v>
      </c>
      <c r="F12" s="62"/>
      <c r="G12" s="62"/>
      <c r="H12" s="62"/>
      <c r="I12" s="63"/>
    </row>
    <row r="13" ht="33.0" customHeight="1">
      <c r="A13" s="40" t="s">
        <v>28</v>
      </c>
      <c r="B13" s="86">
        <v>7.0</v>
      </c>
      <c r="C13" s="42" t="s">
        <v>29</v>
      </c>
      <c r="D13" s="42"/>
      <c r="E13" s="87" t="s">
        <v>87</v>
      </c>
      <c r="F13" s="66"/>
      <c r="G13" s="66"/>
      <c r="H13" s="66"/>
      <c r="I13" s="67"/>
    </row>
    <row r="14" ht="15.0" customHeight="1">
      <c r="A14" s="21" t="s">
        <v>30</v>
      </c>
      <c r="B14" s="22">
        <f>SUM(B8:B13)</f>
        <v>50</v>
      </c>
      <c r="C14" s="22"/>
      <c r="D14" s="22"/>
      <c r="E14" s="22"/>
      <c r="F14" s="22"/>
      <c r="G14" s="22"/>
      <c r="H14" s="22"/>
      <c r="I14" s="23"/>
    </row>
    <row r="15" ht="15.0" customHeight="1">
      <c r="A15" s="44" t="s">
        <v>31</v>
      </c>
      <c r="B15" s="45" t="s">
        <v>32</v>
      </c>
      <c r="C15" s="45">
        <v>1.0</v>
      </c>
      <c r="D15" s="45" t="s">
        <v>33</v>
      </c>
      <c r="E15" s="45" t="str">
        <f>IF(C15="","",IF(C15&lt;=2,"Mostly normal",IF(C15&lt;=4,"Noticed",IF(C15&lt;=6,"Marked","Dangerous"))))</f>
        <v>Mostly normal</v>
      </c>
      <c r="F15" s="45"/>
      <c r="G15" s="45"/>
      <c r="H15" s="45"/>
      <c r="I15" s="46"/>
    </row>
    <row r="16" ht="37.5" customHeight="1">
      <c r="A16" s="47" t="s">
        <v>34</v>
      </c>
      <c r="B16" s="84" t="s">
        <v>88</v>
      </c>
      <c r="C16" s="58"/>
      <c r="D16" s="88"/>
      <c r="E16" s="49" t="s">
        <v>35</v>
      </c>
      <c r="F16" s="84" t="s">
        <v>89</v>
      </c>
      <c r="G16" s="58"/>
      <c r="H16" s="58"/>
      <c r="I16" s="59"/>
    </row>
    <row r="17" ht="37.5" customHeight="1">
      <c r="A17" s="50" t="s">
        <v>36</v>
      </c>
      <c r="B17" s="87" t="s">
        <v>90</v>
      </c>
      <c r="C17" s="66"/>
      <c r="D17" s="89"/>
      <c r="E17" s="51" t="s">
        <v>37</v>
      </c>
      <c r="F17" s="87" t="s">
        <v>91</v>
      </c>
      <c r="G17" s="66"/>
      <c r="H17" s="66"/>
      <c r="I17" s="67"/>
    </row>
    <row r="18" ht="15.0" customHeight="1">
      <c r="A18" s="21"/>
      <c r="B18" s="22"/>
      <c r="C18" s="22"/>
      <c r="D18" s="22"/>
      <c r="E18" s="22"/>
      <c r="F18" s="22"/>
      <c r="G18" s="22"/>
      <c r="H18" s="22"/>
      <c r="I18" s="23"/>
    </row>
    <row r="19" ht="15.0" customHeight="1">
      <c r="A19" s="52" t="s">
        <v>38</v>
      </c>
      <c r="B19" s="2"/>
      <c r="C19" s="2"/>
      <c r="D19" s="2"/>
      <c r="E19" s="2"/>
      <c r="F19" s="2"/>
      <c r="G19" s="2"/>
      <c r="H19" s="2"/>
      <c r="I19" s="53"/>
    </row>
    <row r="20" ht="42.0" customHeight="1">
      <c r="A20" s="47" t="s">
        <v>39</v>
      </c>
      <c r="B20" s="90" t="s">
        <v>92</v>
      </c>
      <c r="C20" s="88"/>
      <c r="D20" s="49" t="s">
        <v>40</v>
      </c>
      <c r="E20" s="84" t="s">
        <v>93</v>
      </c>
      <c r="F20" s="88"/>
      <c r="G20" s="49" t="s">
        <v>41</v>
      </c>
      <c r="H20" s="84" t="s">
        <v>94</v>
      </c>
      <c r="I20" s="59"/>
    </row>
    <row r="21" ht="15.0" customHeight="1">
      <c r="A21" s="35"/>
      <c r="B21" s="37"/>
      <c r="C21" s="37"/>
      <c r="D21" s="37"/>
      <c r="E21" s="37"/>
      <c r="F21" s="37"/>
      <c r="G21" s="37"/>
      <c r="H21" s="37"/>
      <c r="I21" s="38"/>
    </row>
    <row r="22" ht="24.0" customHeight="1">
      <c r="A22" s="50" t="s">
        <v>42</v>
      </c>
      <c r="B22" s="42"/>
      <c r="C22" s="42"/>
      <c r="D22" s="42"/>
      <c r="E22" s="42"/>
      <c r="F22" s="42"/>
      <c r="G22" s="42"/>
      <c r="H22" s="42"/>
      <c r="I22" s="43"/>
    </row>
    <row r="23" ht="48.0" customHeight="1">
      <c r="A23" s="21" t="s">
        <v>95</v>
      </c>
      <c r="I23" s="91"/>
    </row>
    <row r="24" ht="15.0" customHeight="1">
      <c r="A24" s="52" t="s">
        <v>43</v>
      </c>
      <c r="B24" s="2"/>
      <c r="C24" s="2"/>
      <c r="D24" s="2"/>
      <c r="E24" s="2"/>
      <c r="F24" s="2"/>
      <c r="G24" s="2"/>
      <c r="H24" s="2"/>
      <c r="I24" s="53"/>
    </row>
    <row r="25" ht="15.0" customHeight="1">
      <c r="A25" s="28" t="s">
        <v>44</v>
      </c>
      <c r="B25" s="29" t="s">
        <v>45</v>
      </c>
      <c r="C25" s="29" t="s">
        <v>46</v>
      </c>
      <c r="D25" s="29" t="s">
        <v>47</v>
      </c>
      <c r="E25" s="29" t="s">
        <v>48</v>
      </c>
      <c r="F25" s="29" t="s">
        <v>49</v>
      </c>
      <c r="G25" s="29" t="s">
        <v>50</v>
      </c>
      <c r="H25" s="29" t="s">
        <v>51</v>
      </c>
      <c r="I25" s="30" t="s">
        <v>52</v>
      </c>
    </row>
    <row r="26" ht="78.0" customHeight="1">
      <c r="A26" s="54" t="s">
        <v>53</v>
      </c>
      <c r="B26" s="37" t="s">
        <v>96</v>
      </c>
      <c r="C26" s="37" t="s">
        <v>64</v>
      </c>
      <c r="D26" s="37" t="s">
        <v>97</v>
      </c>
      <c r="E26" s="37" t="s">
        <v>98</v>
      </c>
      <c r="F26" s="37" t="s">
        <v>99</v>
      </c>
      <c r="G26" s="37" t="s">
        <v>100</v>
      </c>
      <c r="H26" s="37" t="s">
        <v>101</v>
      </c>
      <c r="I26" s="38" t="s">
        <v>102</v>
      </c>
    </row>
    <row r="27" ht="78.0" customHeight="1">
      <c r="A27" s="54" t="s">
        <v>54</v>
      </c>
      <c r="B27" s="37" t="s">
        <v>103</v>
      </c>
      <c r="C27" s="37" t="s">
        <v>64</v>
      </c>
      <c r="D27" s="37" t="s">
        <v>104</v>
      </c>
      <c r="E27" s="37" t="s">
        <v>105</v>
      </c>
      <c r="F27" s="37" t="s">
        <v>106</v>
      </c>
      <c r="G27" s="37" t="s">
        <v>107</v>
      </c>
      <c r="H27" s="37" t="s">
        <v>108</v>
      </c>
      <c r="I27" s="38" t="s">
        <v>109</v>
      </c>
    </row>
    <row r="28" ht="78.0" customHeight="1">
      <c r="A28" s="54" t="s">
        <v>55</v>
      </c>
      <c r="B28" s="37" t="s">
        <v>110</v>
      </c>
      <c r="C28" s="37" t="s">
        <v>111</v>
      </c>
      <c r="D28" s="37" t="s">
        <v>112</v>
      </c>
      <c r="E28" s="37" t="s">
        <v>113</v>
      </c>
      <c r="F28" s="37" t="s">
        <v>114</v>
      </c>
      <c r="G28" s="37" t="s">
        <v>115</v>
      </c>
      <c r="H28" s="37" t="s">
        <v>116</v>
      </c>
      <c r="I28" s="38" t="s">
        <v>117</v>
      </c>
    </row>
    <row r="29" ht="15.0" customHeight="1">
      <c r="A29" s="21"/>
      <c r="B29" s="22"/>
      <c r="C29" s="22"/>
      <c r="D29" s="22"/>
      <c r="E29" s="22"/>
      <c r="F29" s="22"/>
      <c r="G29" s="22"/>
      <c r="H29" s="22"/>
      <c r="I29" s="23"/>
    </row>
    <row r="30" ht="15.0" customHeight="1">
      <c r="A30" s="52" t="s">
        <v>56</v>
      </c>
      <c r="B30" s="2"/>
      <c r="C30" s="2"/>
      <c r="D30" s="2"/>
      <c r="E30" s="2"/>
      <c r="F30" s="2"/>
      <c r="G30" s="2"/>
      <c r="H30" s="2"/>
      <c r="I30" s="53"/>
    </row>
    <row r="31" ht="36.0" customHeight="1">
      <c r="A31" s="56" t="s">
        <v>57</v>
      </c>
      <c r="B31" s="57" t="s">
        <v>58</v>
      </c>
      <c r="C31" s="58"/>
      <c r="D31" s="58"/>
      <c r="E31" s="58"/>
      <c r="F31" s="58"/>
      <c r="G31" s="58"/>
      <c r="H31" s="58"/>
      <c r="I31" s="59"/>
    </row>
    <row r="32" ht="36.0" customHeight="1">
      <c r="A32" s="60" t="s">
        <v>53</v>
      </c>
      <c r="B32" s="61" t="s">
        <v>59</v>
      </c>
      <c r="C32" s="62"/>
      <c r="D32" s="62"/>
      <c r="E32" s="62"/>
      <c r="F32" s="62"/>
      <c r="G32" s="62"/>
      <c r="H32" s="62"/>
      <c r="I32" s="63"/>
    </row>
    <row r="33" ht="36.0" customHeight="1">
      <c r="A33" s="60" t="s">
        <v>60</v>
      </c>
      <c r="B33" s="61" t="s">
        <v>61</v>
      </c>
      <c r="C33" s="62"/>
      <c r="D33" s="62"/>
      <c r="E33" s="62"/>
      <c r="F33" s="62"/>
      <c r="G33" s="62"/>
      <c r="H33" s="62"/>
      <c r="I33" s="63"/>
    </row>
    <row r="34" ht="36.0" customHeight="1">
      <c r="A34" s="60" t="s">
        <v>62</v>
      </c>
      <c r="B34" s="61" t="s">
        <v>63</v>
      </c>
      <c r="C34" s="62"/>
      <c r="D34" s="62"/>
      <c r="E34" s="62"/>
      <c r="F34" s="62"/>
      <c r="G34" s="62"/>
      <c r="H34" s="62"/>
      <c r="I34" s="63"/>
    </row>
    <row r="35" ht="36.0" customHeight="1">
      <c r="A35" s="60" t="s">
        <v>64</v>
      </c>
      <c r="B35" s="61" t="s">
        <v>65</v>
      </c>
      <c r="C35" s="62"/>
      <c r="D35" s="62"/>
      <c r="E35" s="62"/>
      <c r="F35" s="62"/>
      <c r="G35" s="62"/>
      <c r="H35" s="62"/>
      <c r="I35" s="63"/>
    </row>
    <row r="36" ht="36.0" customHeight="1">
      <c r="A36" s="64" t="s">
        <v>66</v>
      </c>
      <c r="B36" s="65" t="s">
        <v>67</v>
      </c>
      <c r="C36" s="66"/>
      <c r="D36" s="66"/>
      <c r="E36" s="66"/>
      <c r="F36" s="66"/>
      <c r="G36" s="66"/>
      <c r="H36" s="66"/>
      <c r="I36" s="67"/>
    </row>
    <row r="37" ht="15.0" customHeight="1">
      <c r="A37" s="21"/>
      <c r="B37" s="22"/>
      <c r="C37" s="22"/>
      <c r="D37" s="22"/>
      <c r="E37" s="22"/>
      <c r="F37" s="22"/>
      <c r="G37" s="22"/>
      <c r="H37" s="22"/>
      <c r="I37" s="23"/>
    </row>
    <row r="38" ht="15.0" customHeight="1">
      <c r="A38" s="52" t="s">
        <v>68</v>
      </c>
      <c r="B38" s="2"/>
      <c r="C38" s="2"/>
      <c r="D38" s="2"/>
      <c r="E38" s="2"/>
      <c r="F38" s="2"/>
      <c r="G38" s="2"/>
      <c r="H38" s="2"/>
      <c r="I38" s="53"/>
    </row>
    <row r="39" ht="15.0" customHeight="1">
      <c r="A39" s="68" t="s">
        <v>69</v>
      </c>
      <c r="B39" s="69" t="s">
        <v>70</v>
      </c>
      <c r="C39" s="70" t="s">
        <v>16</v>
      </c>
      <c r="D39" s="2"/>
      <c r="E39" s="2"/>
      <c r="F39" s="2"/>
      <c r="G39" s="2"/>
      <c r="H39" s="2"/>
      <c r="I39" s="53"/>
    </row>
    <row r="40" ht="42.0" customHeight="1">
      <c r="A40" s="35" t="s">
        <v>118</v>
      </c>
      <c r="B40" s="37" t="s">
        <v>119</v>
      </c>
      <c r="C40" s="71" t="s">
        <v>120</v>
      </c>
      <c r="D40" s="62"/>
      <c r="E40" s="62"/>
      <c r="F40" s="62"/>
      <c r="G40" s="62"/>
      <c r="H40" s="62"/>
      <c r="I40" s="63"/>
    </row>
    <row r="41" ht="42.0" customHeight="1">
      <c r="A41" s="35" t="s">
        <v>121</v>
      </c>
      <c r="B41" s="37" t="s">
        <v>122</v>
      </c>
      <c r="C41" s="71" t="s">
        <v>123</v>
      </c>
      <c r="D41" s="62"/>
      <c r="E41" s="62"/>
      <c r="F41" s="62"/>
      <c r="G41" s="62"/>
      <c r="H41" s="62"/>
      <c r="I41" s="63"/>
    </row>
    <row r="42" ht="42.0" customHeight="1">
      <c r="A42" s="35" t="s">
        <v>124</v>
      </c>
      <c r="B42" s="37" t="s">
        <v>125</v>
      </c>
      <c r="C42" s="71" t="s">
        <v>126</v>
      </c>
      <c r="D42" s="62"/>
      <c r="E42" s="62"/>
      <c r="F42" s="62"/>
      <c r="G42" s="62"/>
      <c r="H42" s="62"/>
      <c r="I42" s="63"/>
    </row>
    <row r="43" ht="42.0" customHeight="1">
      <c r="A43" s="72" t="s">
        <v>127</v>
      </c>
      <c r="B43" s="73" t="s">
        <v>128</v>
      </c>
      <c r="C43" s="74" t="s">
        <v>129</v>
      </c>
      <c r="D43" s="75"/>
      <c r="E43" s="75"/>
      <c r="F43" s="75"/>
      <c r="G43" s="75"/>
      <c r="H43" s="75"/>
      <c r="I43" s="76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A1:I1"/>
    <mergeCell ref="B3:D3"/>
    <mergeCell ref="H3:I3"/>
    <mergeCell ref="B4:D4"/>
    <mergeCell ref="H4:I4"/>
    <mergeCell ref="E8:I8"/>
    <mergeCell ref="E9:I9"/>
    <mergeCell ref="E10:I10"/>
    <mergeCell ref="E11:I11"/>
    <mergeCell ref="E12:I12"/>
    <mergeCell ref="E13:I13"/>
    <mergeCell ref="B16:D16"/>
    <mergeCell ref="F16:I16"/>
    <mergeCell ref="B17:D17"/>
    <mergeCell ref="F17:I17"/>
    <mergeCell ref="A19:I19"/>
    <mergeCell ref="B20:C20"/>
    <mergeCell ref="E20:F20"/>
    <mergeCell ref="H20:I20"/>
    <mergeCell ref="A23:I23"/>
    <mergeCell ref="A24:I24"/>
    <mergeCell ref="A38:I38"/>
    <mergeCell ref="C39:I39"/>
    <mergeCell ref="C40:I40"/>
    <mergeCell ref="C41:I41"/>
    <mergeCell ref="C42:I42"/>
    <mergeCell ref="C43:I43"/>
    <mergeCell ref="A30:I30"/>
    <mergeCell ref="B31:I31"/>
    <mergeCell ref="B32:I32"/>
    <mergeCell ref="B33:I33"/>
    <mergeCell ref="B34:I34"/>
    <mergeCell ref="B35:I35"/>
    <mergeCell ref="B36:I36"/>
  </mergeCells>
  <dataValidations>
    <dataValidation type="list" allowBlank="1" sqref="C26:C28">
      <formula1>"Physical,Supernatural"</formula1>
    </dataValidation>
    <dataValidation type="list" allowBlank="1" sqref="D26:D28">
      <formula1>"Damage,Support"</formula1>
    </dataValidation>
    <dataValidation type="decimal" allowBlank="1" showInputMessage="1" showErrorMessage="1" prompt="Malas - Enter a whole number from 0 to 10." sqref="C15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.63"/>
    <col customWidth="1" min="3" max="3" width="13.5"/>
    <col customWidth="1" min="4" max="4" width="4.75"/>
    <col customWidth="1" min="5" max="26" width="8.63"/>
  </cols>
  <sheetData>
    <row r="1" ht="14.25" customHeight="1">
      <c r="A1" s="92" t="s">
        <v>46</v>
      </c>
      <c r="B1" s="92" t="s">
        <v>47</v>
      </c>
      <c r="C1" s="92" t="s">
        <v>130</v>
      </c>
      <c r="D1" s="92" t="s">
        <v>131</v>
      </c>
    </row>
    <row r="2" ht="14.25" customHeight="1">
      <c r="A2" s="93" t="s">
        <v>62</v>
      </c>
      <c r="B2" s="93" t="s">
        <v>132</v>
      </c>
      <c r="C2" s="93" t="s">
        <v>133</v>
      </c>
      <c r="D2" s="93" t="s">
        <v>53</v>
      </c>
    </row>
    <row r="3" ht="14.25" customHeight="1">
      <c r="A3" s="93" t="s">
        <v>64</v>
      </c>
      <c r="B3" s="93" t="s">
        <v>134</v>
      </c>
      <c r="C3" s="93" t="s">
        <v>135</v>
      </c>
      <c r="D3" s="93" t="s">
        <v>60</v>
      </c>
    </row>
    <row r="4" ht="14.25" customHeight="1">
      <c r="A4" s="93"/>
      <c r="B4" s="93"/>
      <c r="C4" s="93" t="s">
        <v>136</v>
      </c>
      <c r="D4" s="93"/>
    </row>
    <row r="5" ht="14.25" customHeight="1">
      <c r="A5" s="93"/>
      <c r="B5" s="93"/>
      <c r="C5" s="93" t="s">
        <v>137</v>
      </c>
      <c r="D5" s="93"/>
    </row>
    <row r="6" ht="14.25" customHeight="1">
      <c r="A6" s="93"/>
      <c r="B6" s="93"/>
      <c r="C6" s="93" t="s">
        <v>138</v>
      </c>
      <c r="D6" s="93"/>
    </row>
    <row r="7" ht="14.25" customHeight="1">
      <c r="A7" s="93"/>
      <c r="B7" s="93"/>
      <c r="C7" s="93" t="s">
        <v>139</v>
      </c>
      <c r="D7" s="93"/>
    </row>
    <row r="8" ht="14.25" customHeight="1">
      <c r="A8" s="93"/>
      <c r="B8" s="93"/>
      <c r="C8" s="93" t="s">
        <v>140</v>
      </c>
      <c r="D8" s="93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